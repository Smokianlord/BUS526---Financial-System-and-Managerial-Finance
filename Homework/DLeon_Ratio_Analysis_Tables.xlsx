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Leon Ratios" sheetId="1" r:id="rId4"/>
  </sheets>
  <definedNames/>
  <calcPr/>
  <extLst>
    <ext uri="GoogleSheetsCustomDataVersion2">
      <go:sheetsCustomData xmlns:go="http://customooxmlschemas.google.com/" r:id="rId5" roundtripDataChecksum="mktdYXR177eipSXF+Umt0CE1zZKcUl41NJwgJiWCcD0="/>
    </ext>
  </extLst>
</workbook>
</file>

<file path=xl/sharedStrings.xml><?xml version="1.0" encoding="utf-8"?>
<sst xmlns="http://schemas.openxmlformats.org/spreadsheetml/2006/main" count="125" uniqueCount="88">
  <si>
    <t>D'Leon Ratio Analysis</t>
  </si>
  <si>
    <t>Input Data</t>
  </si>
  <si>
    <t>Item</t>
  </si>
  <si>
    <t>Value</t>
  </si>
  <si>
    <t>Note</t>
  </si>
  <si>
    <t>Sales</t>
  </si>
  <si>
    <t>Lecture data</t>
  </si>
  <si>
    <t>COGS</t>
  </si>
  <si>
    <t>Current Assets</t>
  </si>
  <si>
    <t>Current Liabilities</t>
  </si>
  <si>
    <t>Inventory</t>
  </si>
  <si>
    <t>Receivables</t>
  </si>
  <si>
    <t>Net Fixed Assets</t>
  </si>
  <si>
    <t>Total Assets</t>
  </si>
  <si>
    <t>Short-Term Debt</t>
  </si>
  <si>
    <t>Long-Term Debt</t>
  </si>
  <si>
    <t>Total Equity</t>
  </si>
  <si>
    <t>EBIT</t>
  </si>
  <si>
    <t>Interest Expense</t>
  </si>
  <si>
    <t>Net Income</t>
  </si>
  <si>
    <t>EBIT(1-T) for ROIC</t>
  </si>
  <si>
    <t>Price per Share</t>
  </si>
  <si>
    <t>EPS</t>
  </si>
  <si>
    <t>Shares Outstanding</t>
  </si>
  <si>
    <t>1) Liquidity Ratios</t>
  </si>
  <si>
    <t>Ratio</t>
  </si>
  <si>
    <t>Formula</t>
  </si>
  <si>
    <t>Calculation</t>
  </si>
  <si>
    <t>Excel Formula</t>
  </si>
  <si>
    <t>Answer</t>
  </si>
  <si>
    <t>Current Ratio</t>
  </si>
  <si>
    <t>Current Assets / Current Liabilities</t>
  </si>
  <si>
    <t>2,680 / 1,145</t>
  </si>
  <si>
    <t>Quick Ratio</t>
  </si>
  <si>
    <t>(Current Assets - Inventory) / Current Liabilities</t>
  </si>
  <si>
    <t>(2,680 - 1,716) / 1,145</t>
  </si>
  <si>
    <t>2) Long-Term Solvency / Debt Ratios</t>
  </si>
  <si>
    <t>Total Debt</t>
  </si>
  <si>
    <t>Short-Term Debt + Long-Term Debt</t>
  </si>
  <si>
    <t>300 + 400</t>
  </si>
  <si>
    <t>Debt-to-Capital Ratio</t>
  </si>
  <si>
    <t>Total Debt / (Total Debt + Total Equity)</t>
  </si>
  <si>
    <t>700 / (700 + 1,952)</t>
  </si>
  <si>
    <t>Times Interest Earned (TIE)</t>
  </si>
  <si>
    <t>EBIT / Interest Expense</t>
  </si>
  <si>
    <t>492.648 / 70</t>
  </si>
  <si>
    <t>3) Profitability Ratios</t>
  </si>
  <si>
    <t>Net Profit Margin</t>
  </si>
  <si>
    <t>Net Income / Sales</t>
  </si>
  <si>
    <t>253.584 / 7,036</t>
  </si>
  <si>
    <t>Return on Assets (ROA)</t>
  </si>
  <si>
    <t>Net Income / Total Assets</t>
  </si>
  <si>
    <t>253.584 / 3,497</t>
  </si>
  <si>
    <t>Return on Equity (ROE)</t>
  </si>
  <si>
    <t>Net Income / Total Equity</t>
  </si>
  <si>
    <t>253.584 / 1,952</t>
  </si>
  <si>
    <t>Return on Invested Capital (ROIC)</t>
  </si>
  <si>
    <t>EBIT(1-T) / (Total Debt + Total Equity)</t>
  </si>
  <si>
    <t>295.6 / (700 + 1,952)</t>
  </si>
  <si>
    <t>4) Turnover / Asset Management Ratios</t>
  </si>
  <si>
    <t>Inventory Turnover</t>
  </si>
  <si>
    <t>Sales / Inventory</t>
  </si>
  <si>
    <t>7,036 / 1,716</t>
  </si>
  <si>
    <t>Days Sales in Inventory</t>
  </si>
  <si>
    <t>365 / Inventory Turnover</t>
  </si>
  <si>
    <t>365 / 4.10</t>
  </si>
  <si>
    <t>Receivables Turnover</t>
  </si>
  <si>
    <t>Sales / Receivables</t>
  </si>
  <si>
    <t>7,036 / 878</t>
  </si>
  <si>
    <t>Days Sales Outstanding (DSO)</t>
  </si>
  <si>
    <t>Receivables / (Sales / 365)</t>
  </si>
  <si>
    <t>878 / (7,036 / 365)</t>
  </si>
  <si>
    <t>Fixed Asset Turnover</t>
  </si>
  <si>
    <t>Sales / Net Fixed Assets</t>
  </si>
  <si>
    <t>7,036 / 817</t>
  </si>
  <si>
    <t>Total Asset Turnover</t>
  </si>
  <si>
    <t>Sales / Total Assets</t>
  </si>
  <si>
    <t>7,036 / 3,497</t>
  </si>
  <si>
    <t>5) Market Value Ratios</t>
  </si>
  <si>
    <t>Book Value per Share</t>
  </si>
  <si>
    <t>Total Equity / Shares Outstanding</t>
  </si>
  <si>
    <t>1,952 / 250</t>
  </si>
  <si>
    <t>P/E Ratio</t>
  </si>
  <si>
    <t>Price per Share / EPS</t>
  </si>
  <si>
    <t>12.17 / 1.014</t>
  </si>
  <si>
    <t>Market-to-Book Ratio</t>
  </si>
  <si>
    <t>Price per Share / Book Value per Share</t>
  </si>
  <si>
    <t>12.17 / 7.808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</si>
</sst>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x"/>
  </numFmts>
  <fonts count="10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color rgb="FF666666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FF"/>
      <name val="Calibri"/>
      <scheme val="minor"/>
    </font>
    <font>
      <color rgb="FF808080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Border="1" applyFont="1"/>
    <xf borderId="4" fillId="3" fontId="5" numFmtId="0" xfId="0" applyBorder="1" applyFill="1" applyFont="1"/>
    <xf borderId="0" fillId="0" fontId="6" numFmtId="0" xfId="0" applyFont="1"/>
    <xf borderId="0" fillId="0" fontId="7" numFmtId="164" xfId="0" applyFont="1" applyNumberFormat="1"/>
    <xf borderId="0" fillId="0" fontId="8" numFmtId="0" xfId="0" applyFont="1"/>
    <xf borderId="0" fillId="0" fontId="7" numFmtId="3" xfId="0" applyFont="1" applyNumberFormat="1"/>
    <xf borderId="0" fillId="0" fontId="7" numFmtId="4" xfId="0" applyFont="1" applyNumberFormat="1"/>
    <xf borderId="4" fillId="3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shrinkToFit="0" vertical="top" wrapText="1"/>
    </xf>
    <xf borderId="0" fillId="0" fontId="9" numFmtId="165" xfId="0" applyAlignment="1" applyFont="1" applyNumberFormat="1">
      <alignment horizontal="left" vertical="center"/>
    </xf>
    <xf borderId="0" fillId="0" fontId="9" numFmtId="3" xfId="0" applyAlignment="1" applyFont="1" applyNumberFormat="1">
      <alignment shrinkToFit="0" vertical="top" wrapText="1"/>
    </xf>
    <xf borderId="0" fillId="0" fontId="9" numFmtId="4" xfId="0" applyAlignment="1" applyFont="1" applyNumberFormat="1">
      <alignment horizontal="left" vertical="center"/>
    </xf>
    <xf borderId="0" fillId="0" fontId="9" numFmtId="10" xfId="0" applyAlignment="1" applyFont="1" applyNumberFormat="1">
      <alignment horizontal="left" vertical="center"/>
    </xf>
    <xf borderId="0" fillId="0" fontId="9" numFmtId="2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3" width="28.0"/>
    <col customWidth="1" min="4" max="4" width="24.0"/>
    <col customWidth="1" min="5" max="5" width="14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/>
    </row>
    <row r="4">
      <c r="A4" s="5" t="s">
        <v>1</v>
      </c>
      <c r="B4" s="2"/>
      <c r="C4" s="3"/>
    </row>
    <row r="5">
      <c r="A5" s="6" t="s">
        <v>2</v>
      </c>
      <c r="B5" s="6" t="s">
        <v>3</v>
      </c>
      <c r="C5" s="6" t="s">
        <v>4</v>
      </c>
    </row>
    <row r="6">
      <c r="A6" s="7" t="s">
        <v>5</v>
      </c>
      <c r="B6" s="8">
        <v>7036.0</v>
      </c>
      <c r="C6" s="9" t="s">
        <v>6</v>
      </c>
    </row>
    <row r="7">
      <c r="A7" s="7" t="s">
        <v>7</v>
      </c>
      <c r="B7" s="8">
        <v>5875.992</v>
      </c>
      <c r="C7" s="9" t="s">
        <v>6</v>
      </c>
    </row>
    <row r="8">
      <c r="A8" s="7" t="s">
        <v>8</v>
      </c>
      <c r="B8" s="10">
        <v>2680.0</v>
      </c>
      <c r="C8" s="9" t="s">
        <v>6</v>
      </c>
    </row>
    <row r="9">
      <c r="A9" s="7" t="s">
        <v>9</v>
      </c>
      <c r="B9" s="10">
        <v>1145.0</v>
      </c>
      <c r="C9" s="9" t="s">
        <v>6</v>
      </c>
    </row>
    <row r="10">
      <c r="A10" s="7" t="s">
        <v>10</v>
      </c>
      <c r="B10" s="10">
        <v>1716.0</v>
      </c>
      <c r="C10" s="9" t="s">
        <v>6</v>
      </c>
    </row>
    <row r="11">
      <c r="A11" s="7" t="s">
        <v>11</v>
      </c>
      <c r="B11" s="10">
        <v>878.0</v>
      </c>
      <c r="C11" s="9" t="s">
        <v>6</v>
      </c>
    </row>
    <row r="12">
      <c r="A12" s="7" t="s">
        <v>12</v>
      </c>
      <c r="B12" s="10">
        <v>817.0</v>
      </c>
      <c r="C12" s="9" t="s">
        <v>6</v>
      </c>
    </row>
    <row r="13">
      <c r="A13" s="7" t="s">
        <v>13</v>
      </c>
      <c r="B13" s="10">
        <v>3497.0</v>
      </c>
      <c r="C13" s="9" t="s">
        <v>6</v>
      </c>
    </row>
    <row r="14">
      <c r="A14" s="7" t="s">
        <v>14</v>
      </c>
      <c r="B14" s="10">
        <v>300.0</v>
      </c>
      <c r="C14" s="9" t="s">
        <v>6</v>
      </c>
    </row>
    <row r="15">
      <c r="A15" s="7" t="s">
        <v>15</v>
      </c>
      <c r="B15" s="10">
        <v>400.0</v>
      </c>
      <c r="C15" s="9" t="s">
        <v>6</v>
      </c>
    </row>
    <row r="16">
      <c r="A16" s="7" t="s">
        <v>16</v>
      </c>
      <c r="B16" s="10">
        <v>1952.0</v>
      </c>
      <c r="C16" s="9" t="s">
        <v>6</v>
      </c>
    </row>
    <row r="17">
      <c r="A17" s="7" t="s">
        <v>17</v>
      </c>
      <c r="B17" s="8">
        <v>492.648</v>
      </c>
      <c r="C17" s="9" t="s">
        <v>6</v>
      </c>
    </row>
    <row r="18">
      <c r="A18" s="7" t="s">
        <v>18</v>
      </c>
      <c r="B18" s="8">
        <v>70.0</v>
      </c>
      <c r="C18" s="9" t="s">
        <v>6</v>
      </c>
    </row>
    <row r="19">
      <c r="A19" s="7" t="s">
        <v>19</v>
      </c>
      <c r="B19" s="8">
        <v>253.584</v>
      </c>
      <c r="C19" s="9" t="s">
        <v>6</v>
      </c>
    </row>
    <row r="20">
      <c r="A20" s="7" t="s">
        <v>20</v>
      </c>
      <c r="B20" s="8">
        <v>295.6</v>
      </c>
      <c r="C20" s="9" t="s">
        <v>6</v>
      </c>
    </row>
    <row r="21" ht="15.75" customHeight="1">
      <c r="A21" s="7" t="s">
        <v>21</v>
      </c>
      <c r="B21" s="11">
        <v>12.17</v>
      </c>
      <c r="C21" s="9" t="s">
        <v>6</v>
      </c>
    </row>
    <row r="22" ht="15.75" customHeight="1">
      <c r="A22" s="7" t="s">
        <v>22</v>
      </c>
      <c r="B22" s="8">
        <v>1.014</v>
      </c>
      <c r="C22" s="9" t="s">
        <v>6</v>
      </c>
    </row>
    <row r="23" ht="15.75" customHeight="1">
      <c r="A23" s="7" t="s">
        <v>23</v>
      </c>
      <c r="B23" s="10">
        <v>250.0</v>
      </c>
      <c r="C23" s="9" t="s">
        <v>6</v>
      </c>
    </row>
    <row r="24" ht="15.75" customHeight="1"/>
    <row r="25" ht="15.75" customHeight="1">
      <c r="A25" s="5" t="s">
        <v>24</v>
      </c>
      <c r="B25" s="2"/>
      <c r="C25" s="2"/>
      <c r="D25" s="2"/>
      <c r="E25" s="3"/>
    </row>
    <row r="26" ht="15.75" customHeight="1">
      <c r="A26" s="12" t="s">
        <v>25</v>
      </c>
      <c r="B26" s="12" t="s">
        <v>26</v>
      </c>
      <c r="C26" s="12" t="s">
        <v>27</v>
      </c>
      <c r="D26" s="12" t="s">
        <v>28</v>
      </c>
      <c r="E26" s="12" t="s">
        <v>29</v>
      </c>
    </row>
    <row r="27" ht="15.75" customHeight="1">
      <c r="A27" s="13" t="s">
        <v>30</v>
      </c>
      <c r="B27" s="14" t="s">
        <v>31</v>
      </c>
      <c r="C27" s="14" t="s">
        <v>32</v>
      </c>
      <c r="D27" s="14">
        <f t="shared" ref="D27:E27" si="1">$B$8/$B$9</f>
        <v>2.340611354</v>
      </c>
      <c r="E27" s="15">
        <f t="shared" si="1"/>
        <v>2.340611354</v>
      </c>
    </row>
    <row r="28" ht="15.75" customHeight="1">
      <c r="A28" s="13" t="s">
        <v>33</v>
      </c>
      <c r="B28" s="14" t="s">
        <v>34</v>
      </c>
      <c r="C28" s="14" t="s">
        <v>35</v>
      </c>
      <c r="D28" s="14">
        <f t="shared" ref="D28:E28" si="2">($B$8-$B$10)/$B$9</f>
        <v>0.8419213974</v>
      </c>
      <c r="E28" s="15">
        <f t="shared" si="2"/>
        <v>0.8419213974</v>
      </c>
    </row>
    <row r="29" ht="15.75" customHeight="1"/>
    <row r="30" ht="15.75" customHeight="1">
      <c r="A30" s="5" t="s">
        <v>36</v>
      </c>
      <c r="B30" s="2"/>
      <c r="C30" s="2"/>
      <c r="D30" s="2"/>
      <c r="E30" s="3"/>
    </row>
    <row r="31" ht="15.75" customHeight="1">
      <c r="A31" s="12" t="s">
        <v>25</v>
      </c>
      <c r="B31" s="12" t="s">
        <v>26</v>
      </c>
      <c r="C31" s="12" t="s">
        <v>27</v>
      </c>
      <c r="D31" s="12" t="s">
        <v>28</v>
      </c>
      <c r="E31" s="12" t="s">
        <v>29</v>
      </c>
    </row>
    <row r="32" ht="15.75" customHeight="1">
      <c r="A32" s="13" t="s">
        <v>37</v>
      </c>
      <c r="B32" s="14" t="s">
        <v>38</v>
      </c>
      <c r="C32" s="14" t="s">
        <v>39</v>
      </c>
      <c r="D32" s="16">
        <f t="shared" ref="D32:E32" si="3">$B$14+$B$15</f>
        <v>700</v>
      </c>
      <c r="E32" s="17">
        <f t="shared" si="3"/>
        <v>700</v>
      </c>
    </row>
    <row r="33" ht="15.75" customHeight="1">
      <c r="A33" s="13" t="s">
        <v>40</v>
      </c>
      <c r="B33" s="14" t="s">
        <v>41</v>
      </c>
      <c r="C33" s="14" t="s">
        <v>42</v>
      </c>
      <c r="D33" s="14">
        <f>E32/(E32+$B$16)</f>
        <v>0.2639517345</v>
      </c>
      <c r="E33" s="18">
        <f>E32/(E32+$B$16)</f>
        <v>0.2639517345</v>
      </c>
    </row>
    <row r="34" ht="15.75" customHeight="1">
      <c r="A34" s="13" t="s">
        <v>43</v>
      </c>
      <c r="B34" s="14" t="s">
        <v>44</v>
      </c>
      <c r="C34" s="14" t="s">
        <v>45</v>
      </c>
      <c r="D34" s="14">
        <f t="shared" ref="D34:E34" si="4">$B$17/$B$18</f>
        <v>7.037828571</v>
      </c>
      <c r="E34" s="15">
        <f t="shared" si="4"/>
        <v>7.037828571</v>
      </c>
    </row>
    <row r="35" ht="15.75" customHeight="1"/>
    <row r="36" ht="15.75" customHeight="1">
      <c r="A36" s="5" t="s">
        <v>46</v>
      </c>
      <c r="B36" s="2"/>
      <c r="C36" s="2"/>
      <c r="D36" s="2"/>
      <c r="E36" s="3"/>
    </row>
    <row r="37" ht="15.75" customHeight="1">
      <c r="A37" s="12" t="s">
        <v>25</v>
      </c>
      <c r="B37" s="12" t="s">
        <v>26</v>
      </c>
      <c r="C37" s="12" t="s">
        <v>27</v>
      </c>
      <c r="D37" s="12" t="s">
        <v>28</v>
      </c>
      <c r="E37" s="12" t="s">
        <v>29</v>
      </c>
    </row>
    <row r="38" ht="15.75" customHeight="1">
      <c r="A38" s="13" t="s">
        <v>47</v>
      </c>
      <c r="B38" s="14" t="s">
        <v>48</v>
      </c>
      <c r="C38" s="14" t="s">
        <v>49</v>
      </c>
      <c r="D38" s="14">
        <f t="shared" ref="D38:E38" si="5">$B$19/$B$6</f>
        <v>0.03604093235</v>
      </c>
      <c r="E38" s="18">
        <f t="shared" si="5"/>
        <v>0.03604093235</v>
      </c>
    </row>
    <row r="39" ht="15.75" customHeight="1">
      <c r="A39" s="13" t="s">
        <v>50</v>
      </c>
      <c r="B39" s="14" t="s">
        <v>51</v>
      </c>
      <c r="C39" s="14" t="s">
        <v>52</v>
      </c>
      <c r="D39" s="14">
        <f t="shared" ref="D39:E39" si="6">$B$19/$B$13</f>
        <v>0.07251472691</v>
      </c>
      <c r="E39" s="18">
        <f t="shared" si="6"/>
        <v>0.07251472691</v>
      </c>
    </row>
    <row r="40" ht="15.75" customHeight="1">
      <c r="A40" s="13" t="s">
        <v>53</v>
      </c>
      <c r="B40" s="14" t="s">
        <v>54</v>
      </c>
      <c r="C40" s="14" t="s">
        <v>55</v>
      </c>
      <c r="D40" s="14">
        <f t="shared" ref="D40:E40" si="7">$B$19/$B$16</f>
        <v>0.1299098361</v>
      </c>
      <c r="E40" s="18">
        <f t="shared" si="7"/>
        <v>0.1299098361</v>
      </c>
    </row>
    <row r="41" ht="15.75" customHeight="1">
      <c r="A41" s="13" t="s">
        <v>56</v>
      </c>
      <c r="B41" s="14" t="s">
        <v>57</v>
      </c>
      <c r="C41" s="14" t="s">
        <v>58</v>
      </c>
      <c r="D41" s="14">
        <f t="shared" ref="D41:E41" si="8">$B$20/(($B$14+$B$15)+$B$16)</f>
        <v>0.1114630468</v>
      </c>
      <c r="E41" s="18">
        <f t="shared" si="8"/>
        <v>0.1114630468</v>
      </c>
    </row>
    <row r="42" ht="15.75" customHeight="1"/>
    <row r="43" ht="15.75" customHeight="1">
      <c r="A43" s="5" t="s">
        <v>59</v>
      </c>
      <c r="B43" s="2"/>
      <c r="C43" s="2"/>
      <c r="D43" s="2"/>
      <c r="E43" s="3"/>
    </row>
    <row r="44" ht="15.75" customHeight="1">
      <c r="A44" s="12" t="s">
        <v>25</v>
      </c>
      <c r="B44" s="12" t="s">
        <v>26</v>
      </c>
      <c r="C44" s="12" t="s">
        <v>27</v>
      </c>
      <c r="D44" s="12" t="s">
        <v>28</v>
      </c>
      <c r="E44" s="12" t="s">
        <v>29</v>
      </c>
    </row>
    <row r="45" ht="15.75" customHeight="1">
      <c r="A45" s="13" t="s">
        <v>60</v>
      </c>
      <c r="B45" s="14" t="s">
        <v>61</v>
      </c>
      <c r="C45" s="14" t="s">
        <v>62</v>
      </c>
      <c r="D45" s="14">
        <f t="shared" ref="D45:E45" si="9">$B$6/$B$10</f>
        <v>4.1002331</v>
      </c>
      <c r="E45" s="15">
        <f t="shared" si="9"/>
        <v>4.1002331</v>
      </c>
    </row>
    <row r="46" ht="15.75" customHeight="1">
      <c r="A46" s="13" t="s">
        <v>63</v>
      </c>
      <c r="B46" s="14" t="s">
        <v>64</v>
      </c>
      <c r="C46" s="14" t="s">
        <v>65</v>
      </c>
      <c r="D46" s="14">
        <f>365/E45</f>
        <v>89.01932916</v>
      </c>
      <c r="E46" s="19">
        <f>365/E45</f>
        <v>89.01932916</v>
      </c>
    </row>
    <row r="47" ht="15.75" customHeight="1">
      <c r="A47" s="13" t="s">
        <v>66</v>
      </c>
      <c r="B47" s="14" t="s">
        <v>67</v>
      </c>
      <c r="C47" s="14" t="s">
        <v>68</v>
      </c>
      <c r="D47" s="14">
        <f t="shared" ref="D47:E47" si="10">$B$6/$B$11</f>
        <v>8.013667426</v>
      </c>
      <c r="E47" s="15">
        <f t="shared" si="10"/>
        <v>8.013667426</v>
      </c>
    </row>
    <row r="48" ht="15.75" customHeight="1">
      <c r="A48" s="13" t="s">
        <v>69</v>
      </c>
      <c r="B48" s="14" t="s">
        <v>70</v>
      </c>
      <c r="C48" s="14" t="s">
        <v>71</v>
      </c>
      <c r="D48" s="14">
        <f t="shared" ref="D48:E48" si="11">$B$11/($B$6/365)</f>
        <v>45.5471859</v>
      </c>
      <c r="E48" s="19">
        <f t="shared" si="11"/>
        <v>45.5471859</v>
      </c>
    </row>
    <row r="49" ht="15.75" customHeight="1">
      <c r="A49" s="13" t="s">
        <v>72</v>
      </c>
      <c r="B49" s="14" t="s">
        <v>73</v>
      </c>
      <c r="C49" s="14" t="s">
        <v>74</v>
      </c>
      <c r="D49" s="14">
        <f t="shared" ref="D49:E49" si="12">$B$6/$B$12</f>
        <v>8.611995104</v>
      </c>
      <c r="E49" s="15">
        <f t="shared" si="12"/>
        <v>8.611995104</v>
      </c>
    </row>
    <row r="50" ht="15.75" customHeight="1">
      <c r="A50" s="13" t="s">
        <v>75</v>
      </c>
      <c r="B50" s="14" t="s">
        <v>76</v>
      </c>
      <c r="C50" s="14" t="s">
        <v>77</v>
      </c>
      <c r="D50" s="14">
        <f t="shared" ref="D50:E50" si="13">$B$6/$B$13</f>
        <v>2.012010295</v>
      </c>
      <c r="E50" s="15">
        <f t="shared" si="13"/>
        <v>2.012010295</v>
      </c>
    </row>
    <row r="51" ht="15.75" customHeight="1"/>
    <row r="52" ht="15.75" customHeight="1">
      <c r="A52" s="5" t="s">
        <v>78</v>
      </c>
      <c r="B52" s="2"/>
      <c r="C52" s="2"/>
      <c r="D52" s="2"/>
      <c r="E52" s="3"/>
    </row>
    <row r="53" ht="15.75" customHeight="1">
      <c r="A53" s="12" t="s">
        <v>25</v>
      </c>
      <c r="B53" s="12" t="s">
        <v>26</v>
      </c>
      <c r="C53" s="12" t="s">
        <v>27</v>
      </c>
      <c r="D53" s="12" t="s">
        <v>28</v>
      </c>
      <c r="E53" s="12" t="s">
        <v>29</v>
      </c>
    </row>
    <row r="54" ht="15.75" customHeight="1">
      <c r="A54" s="13" t="s">
        <v>79</v>
      </c>
      <c r="B54" s="14" t="s">
        <v>80</v>
      </c>
      <c r="C54" s="14" t="s">
        <v>81</v>
      </c>
      <c r="D54" s="14">
        <f t="shared" ref="D54:E54" si="14">$B$16/$B$23</f>
        <v>7.808</v>
      </c>
      <c r="E54" s="17">
        <f t="shared" si="14"/>
        <v>7.808</v>
      </c>
    </row>
    <row r="55" ht="15.75" customHeight="1">
      <c r="A55" s="13" t="s">
        <v>82</v>
      </c>
      <c r="B55" s="14" t="s">
        <v>83</v>
      </c>
      <c r="C55" s="14" t="s">
        <v>84</v>
      </c>
      <c r="D55" s="14">
        <f t="shared" ref="D55:E55" si="15">$B$21/$B$22</f>
        <v>12.00197239</v>
      </c>
      <c r="E55" s="15">
        <f t="shared" si="15"/>
        <v>12.00197239</v>
      </c>
    </row>
    <row r="56" ht="15.75" customHeight="1">
      <c r="A56" s="13" t="s">
        <v>85</v>
      </c>
      <c r="B56" s="14" t="s">
        <v>86</v>
      </c>
      <c r="C56" s="14" t="s">
        <v>87</v>
      </c>
      <c r="D56" s="14">
        <f>$B$21/E54</f>
        <v>1.558657787</v>
      </c>
      <c r="E56" s="15">
        <f>$B$21/E54</f>
        <v>1.558657787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5:E25"/>
    <mergeCell ref="A30:E30"/>
    <mergeCell ref="A36:E36"/>
    <mergeCell ref="A43:E43"/>
    <mergeCell ref="A52:E52"/>
    <mergeCell ref="A1:E1"/>
    <mergeCell ref="A2:E2"/>
    <mergeCell ref="A4:C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2026-03-16T11:59:51Z</dcterms:created>
  <dc:creator>openpyxl</dc:creator>
</cp:coreProperties>
</file>